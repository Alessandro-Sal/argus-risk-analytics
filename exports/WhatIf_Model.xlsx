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i Portafoglio" sheetId="1" r:id="rId1"/>
    <sheet name="Simulatore What-If" sheetId="2" r:id="rId2"/>
  </sheets>
  <calcPr calcId="124519" fullCalcOnLoad="1"/>
</workbook>
</file>

<file path=xl/sharedStrings.xml><?xml version="1.0" encoding="utf-8"?>
<sst xmlns="http://schemas.openxmlformats.org/spreadsheetml/2006/main" count="108" uniqueCount="41">
  <si>
    <t>Ticker</t>
  </si>
  <si>
    <t>Asset Class</t>
  </si>
  <si>
    <t>Settore</t>
  </si>
  <si>
    <t>Quantità</t>
  </si>
  <si>
    <t>Prezzo Medio</t>
  </si>
  <si>
    <t>Ultimo Prezzo</t>
  </si>
  <si>
    <t>Valore Attuale</t>
  </si>
  <si>
    <t>Peso</t>
  </si>
  <si>
    <t>META</t>
  </si>
  <si>
    <t>stock</t>
  </si>
  <si>
    <t>Communication Services</t>
  </si>
  <si>
    <t>MSFT</t>
  </si>
  <si>
    <t>Technology</t>
  </si>
  <si>
    <t>GOOGL</t>
  </si>
  <si>
    <t>AMZN</t>
  </si>
  <si>
    <t>Consumer Cyclical</t>
  </si>
  <si>
    <t>JPM</t>
  </si>
  <si>
    <t>Financial Services</t>
  </si>
  <si>
    <t>JNJ</t>
  </si>
  <si>
    <t>Healthcare</t>
  </si>
  <si>
    <t>V</t>
  </si>
  <si>
    <t>TSLA</t>
  </si>
  <si>
    <t>AAPL</t>
  </si>
  <si>
    <t>PEP</t>
  </si>
  <si>
    <t>Consumer Defensive</t>
  </si>
  <si>
    <t>DIS</t>
  </si>
  <si>
    <t>INTC</t>
  </si>
  <si>
    <t>NVDA</t>
  </si>
  <si>
    <t>PG</t>
  </si>
  <si>
    <t>WMT</t>
  </si>
  <si>
    <t>CSCO</t>
  </si>
  <si>
    <t>KO</t>
  </si>
  <si>
    <t>NFLX</t>
  </si>
  <si>
    <t>Simulatore di Scenari (Stress Test)</t>
  </si>
  <si>
    <t>Inserisci una percentuale di shock (es. -10% o 5%) nelle celle gialle per vedere l'impatto sul portafoglio.</t>
  </si>
  <si>
    <t>Valore Originale</t>
  </si>
  <si>
    <t>Shock % (Input)</t>
  </si>
  <si>
    <t>Valore Simulato</t>
  </si>
  <si>
    <t>Impatto (€)</t>
  </si>
  <si>
    <t>TOTALE</t>
  </si>
  <si>
    <t>Rendimento Simulata</t>
  </si>
</sst>
</file>

<file path=xl/styles.xml><?xml version="1.0" encoding="utf-8"?>
<styleSheet xmlns="http://schemas.openxmlformats.org/spreadsheetml/2006/main">
  <numFmts count="2">
    <numFmt numFmtId="164" formatCode="€ #,##0.00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165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width="7.28515625" bestFit="1" customWidth="1"/>
    <col min="2" max="2" width="10.7109375" bestFit="1" customWidth="1"/>
    <col min="3" max="3" width="22.7109375" bestFit="1" customWidth="1"/>
    <col min="4" max="4" width="9" bestFit="1" customWidth="1"/>
    <col min="5" max="5" width="13" bestFit="1" customWidth="1"/>
    <col min="6" max="6" width="13.28515625" bestFit="1" customWidth="1"/>
    <col min="7" max="7" width="13.85546875" bestFit="1" customWidth="1"/>
    <col min="8" max="8" width="8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529.8493</v>
      </c>
      <c r="E2" s="2">
        <v>188.042483</v>
      </c>
      <c r="F2" s="2">
        <v>582.900024</v>
      </c>
      <c r="G2" s="2">
        <v>308849.17</v>
      </c>
      <c r="H2" s="3">
        <v>16.8644</v>
      </c>
    </row>
    <row r="3" spans="1:8">
      <c r="A3" t="s">
        <v>11</v>
      </c>
      <c r="B3" t="s">
        <v>9</v>
      </c>
      <c r="C3" t="s">
        <v>12</v>
      </c>
      <c r="D3">
        <v>459.8501</v>
      </c>
      <c r="E3" s="2">
        <v>201.888371</v>
      </c>
      <c r="F3" s="2">
        <v>390.48999</v>
      </c>
      <c r="G3" s="2">
        <v>179566.86</v>
      </c>
      <c r="H3" s="3">
        <v>9.805099999999999</v>
      </c>
    </row>
    <row r="4" spans="1:8">
      <c r="A4" t="s">
        <v>13</v>
      </c>
      <c r="B4" t="s">
        <v>9</v>
      </c>
      <c r="C4" t="s">
        <v>10</v>
      </c>
      <c r="D4">
        <v>420.9459</v>
      </c>
      <c r="E4" s="2">
        <v>209.672972</v>
      </c>
      <c r="F4" s="2">
        <v>359.910004</v>
      </c>
      <c r="G4" s="2">
        <v>151502.64</v>
      </c>
      <c r="H4" s="3">
        <v>8.272600000000001</v>
      </c>
    </row>
    <row r="5" spans="1:8">
      <c r="A5" t="s">
        <v>14</v>
      </c>
      <c r="B5" t="s">
        <v>9</v>
      </c>
      <c r="C5" t="s">
        <v>15</v>
      </c>
      <c r="D5">
        <v>623.1828</v>
      </c>
      <c r="E5" s="2">
        <v>203.738304</v>
      </c>
      <c r="F5" s="2">
        <v>242.669998</v>
      </c>
      <c r="G5" s="2">
        <v>151227.77</v>
      </c>
      <c r="H5" s="3">
        <v>8.2576</v>
      </c>
    </row>
    <row r="6" spans="1:8">
      <c r="A6" t="s">
        <v>16</v>
      </c>
      <c r="B6" t="s">
        <v>9</v>
      </c>
      <c r="C6" t="s">
        <v>17</v>
      </c>
      <c r="D6">
        <v>442.3733</v>
      </c>
      <c r="E6" s="2">
        <v>200.981121</v>
      </c>
      <c r="F6" s="2">
        <v>334.470001</v>
      </c>
      <c r="G6" s="2">
        <v>147960.6</v>
      </c>
      <c r="H6" s="3">
        <v>8.0792</v>
      </c>
    </row>
    <row r="7" spans="1:8">
      <c r="A7" t="s">
        <v>18</v>
      </c>
      <c r="B7" t="s">
        <v>9</v>
      </c>
      <c r="C7" t="s">
        <v>19</v>
      </c>
      <c r="D7">
        <v>561.1607</v>
      </c>
      <c r="E7" s="2">
        <v>218.4977</v>
      </c>
      <c r="F7" s="2">
        <v>263.040009</v>
      </c>
      <c r="G7" s="2">
        <v>147607.72</v>
      </c>
      <c r="H7" s="3">
        <v>8.06</v>
      </c>
    </row>
    <row r="8" spans="1:8">
      <c r="A8" t="s">
        <v>20</v>
      </c>
      <c r="B8" t="s">
        <v>9</v>
      </c>
      <c r="C8" t="s">
        <v>17</v>
      </c>
      <c r="D8">
        <v>351.2423</v>
      </c>
      <c r="E8" s="2">
        <v>246.200569</v>
      </c>
      <c r="F8" s="2">
        <v>362.130005</v>
      </c>
      <c r="G8" s="2">
        <v>127195.38</v>
      </c>
      <c r="H8" s="3">
        <v>6.9454</v>
      </c>
    </row>
    <row r="9" spans="1:8">
      <c r="A9" t="s">
        <v>21</v>
      </c>
      <c r="B9" t="s">
        <v>9</v>
      </c>
      <c r="C9" t="s">
        <v>15</v>
      </c>
      <c r="D9">
        <v>313.6286</v>
      </c>
      <c r="E9" s="2">
        <v>166.078091</v>
      </c>
      <c r="F9" s="2">
        <v>393.450012</v>
      </c>
      <c r="G9" s="2">
        <v>123397.18</v>
      </c>
      <c r="H9" s="3">
        <v>6.738</v>
      </c>
    </row>
    <row r="10" spans="1:8">
      <c r="A10" t="s">
        <v>22</v>
      </c>
      <c r="B10" t="s">
        <v>9</v>
      </c>
      <c r="C10" t="s">
        <v>12</v>
      </c>
      <c r="D10">
        <v>332.0281</v>
      </c>
      <c r="E10" s="2">
        <v>237.528911</v>
      </c>
      <c r="F10" s="2">
        <v>308.630005</v>
      </c>
      <c r="G10" s="2">
        <v>102473.83</v>
      </c>
      <c r="H10" s="3">
        <v>5.5955</v>
      </c>
    </row>
    <row r="11" spans="1:8">
      <c r="A11" t="s">
        <v>23</v>
      </c>
      <c r="B11" t="s">
        <v>9</v>
      </c>
      <c r="C11" t="s">
        <v>24</v>
      </c>
      <c r="D11">
        <v>557.2171</v>
      </c>
      <c r="E11" s="2">
        <v>198.625026</v>
      </c>
      <c r="F11" s="2">
        <v>144.220001</v>
      </c>
      <c r="G11" s="2">
        <v>80361.85000000001</v>
      </c>
      <c r="H11" s="3">
        <v>4.3881</v>
      </c>
    </row>
    <row r="12" spans="1:8">
      <c r="A12" t="s">
        <v>25</v>
      </c>
      <c r="B12" t="s">
        <v>9</v>
      </c>
      <c r="C12" t="s">
        <v>10</v>
      </c>
      <c r="D12">
        <v>614.1065</v>
      </c>
      <c r="E12" s="2">
        <v>146.160955</v>
      </c>
      <c r="F12" s="2">
        <v>99.5</v>
      </c>
      <c r="G12" s="2">
        <v>61103.6</v>
      </c>
      <c r="H12" s="3">
        <v>3.3365</v>
      </c>
    </row>
    <row r="13" spans="1:8">
      <c r="A13" t="s">
        <v>26</v>
      </c>
      <c r="B13" t="s">
        <v>9</v>
      </c>
      <c r="C13" t="s">
        <v>12</v>
      </c>
      <c r="D13">
        <v>493.6622</v>
      </c>
      <c r="E13" s="2">
        <v>244.007259</v>
      </c>
      <c r="F13" s="2">
        <v>120.349998</v>
      </c>
      <c r="G13" s="2">
        <v>59412.24</v>
      </c>
      <c r="H13" s="3">
        <v>3.2441</v>
      </c>
    </row>
    <row r="14" spans="1:8">
      <c r="A14" t="s">
        <v>27</v>
      </c>
      <c r="B14" t="s">
        <v>9</v>
      </c>
      <c r="C14" t="s">
        <v>12</v>
      </c>
      <c r="D14">
        <v>303.0089</v>
      </c>
      <c r="E14" s="2">
        <v>150.295359</v>
      </c>
      <c r="F14" s="2">
        <v>194.830002</v>
      </c>
      <c r="G14" s="2">
        <v>59035.22</v>
      </c>
      <c r="H14" s="3">
        <v>3.2236</v>
      </c>
    </row>
    <row r="15" spans="1:8">
      <c r="A15" t="s">
        <v>28</v>
      </c>
      <c r="B15" t="s">
        <v>9</v>
      </c>
      <c r="C15" t="s">
        <v>24</v>
      </c>
      <c r="D15">
        <v>229.5422</v>
      </c>
      <c r="E15" s="2">
        <v>182.861127</v>
      </c>
      <c r="F15" s="2">
        <v>151.410004</v>
      </c>
      <c r="G15" s="2">
        <v>34754.99</v>
      </c>
      <c r="H15" s="3">
        <v>1.8978</v>
      </c>
    </row>
    <row r="16" spans="1:8">
      <c r="A16" t="s">
        <v>29</v>
      </c>
      <c r="B16" t="s">
        <v>9</v>
      </c>
      <c r="C16" t="s">
        <v>24</v>
      </c>
      <c r="D16">
        <v>264.2648</v>
      </c>
      <c r="E16" s="2">
        <v>242.290275</v>
      </c>
      <c r="F16" s="2">
        <v>111.839996</v>
      </c>
      <c r="G16" s="2">
        <v>29555.37</v>
      </c>
      <c r="H16" s="3">
        <v>1.6138</v>
      </c>
    </row>
    <row r="17" spans="1:8">
      <c r="A17" t="s">
        <v>30</v>
      </c>
      <c r="B17" t="s">
        <v>9</v>
      </c>
      <c r="C17" t="s">
        <v>12</v>
      </c>
      <c r="D17">
        <v>246.5471</v>
      </c>
      <c r="E17" s="2">
        <v>192.663487</v>
      </c>
      <c r="F17" s="2">
        <v>112.690002</v>
      </c>
      <c r="G17" s="2">
        <v>27783.39</v>
      </c>
      <c r="H17" s="3">
        <v>1.5171</v>
      </c>
    </row>
    <row r="18" spans="1:8">
      <c r="A18" t="s">
        <v>31</v>
      </c>
      <c r="B18" t="s">
        <v>9</v>
      </c>
      <c r="C18" t="s">
        <v>24</v>
      </c>
      <c r="D18">
        <v>259.6876</v>
      </c>
      <c r="E18" s="2">
        <v>207.583026</v>
      </c>
      <c r="F18" s="2">
        <v>84.139999</v>
      </c>
      <c r="G18" s="2">
        <v>21850.11</v>
      </c>
      <c r="H18" s="3">
        <v>1.1931</v>
      </c>
    </row>
    <row r="19" spans="1:8">
      <c r="A19" t="s">
        <v>32</v>
      </c>
      <c r="B19" t="s">
        <v>9</v>
      </c>
      <c r="C19" t="s">
        <v>10</v>
      </c>
      <c r="D19">
        <v>228.3484</v>
      </c>
      <c r="E19" s="2">
        <v>215.76084</v>
      </c>
      <c r="F19" s="2">
        <v>77.650002</v>
      </c>
      <c r="G19" s="2">
        <v>17731.25</v>
      </c>
      <c r="H19" s="3">
        <v>0.9681999999999999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1" max="1" width="91.85546875" bestFit="1" customWidth="1"/>
    <col min="2" max="2" width="22.7109375" bestFit="1" customWidth="1"/>
    <col min="3" max="3" width="15.42578125" bestFit="1" customWidth="1"/>
    <col min="4" max="4" width="14.7109375" bestFit="1" customWidth="1"/>
    <col min="5" max="5" width="15.140625" bestFit="1" customWidth="1"/>
    <col min="6" max="6" width="11" bestFit="1" customWidth="1"/>
  </cols>
  <sheetData>
    <row r="1" spans="1:6">
      <c r="A1" s="4" t="s">
        <v>33</v>
      </c>
    </row>
    <row r="2" spans="1:6">
      <c r="A2" t="s">
        <v>34</v>
      </c>
    </row>
    <row r="5" spans="1:6">
      <c r="A5" s="1" t="s">
        <v>0</v>
      </c>
      <c r="B5" s="1" t="s">
        <v>2</v>
      </c>
      <c r="C5" s="1" t="s">
        <v>35</v>
      </c>
      <c r="D5" s="1" t="s">
        <v>36</v>
      </c>
      <c r="E5" s="1" t="s">
        <v>37</v>
      </c>
      <c r="F5" s="1" t="s">
        <v>38</v>
      </c>
    </row>
    <row r="6" spans="1:6">
      <c r="A6" t="s">
        <v>8</v>
      </c>
      <c r="B6" t="s">
        <v>10</v>
      </c>
      <c r="C6" s="2">
        <v>308849.17</v>
      </c>
      <c r="D6" s="5">
        <v>0</v>
      </c>
      <c r="E6" s="2">
        <f>C6*(1+D6)</f>
        <v>0</v>
      </c>
      <c r="F6" s="2">
        <f>E6-C6</f>
        <v>0</v>
      </c>
    </row>
    <row r="7" spans="1:6">
      <c r="A7" t="s">
        <v>11</v>
      </c>
      <c r="B7" t="s">
        <v>12</v>
      </c>
      <c r="C7" s="2">
        <v>179566.86</v>
      </c>
      <c r="D7" s="5">
        <v>0</v>
      </c>
      <c r="E7" s="2">
        <f>C7*(1+D7)</f>
        <v>0</v>
      </c>
      <c r="F7" s="2">
        <f>E7-C7</f>
        <v>0</v>
      </c>
    </row>
    <row r="8" spans="1:6">
      <c r="A8" t="s">
        <v>13</v>
      </c>
      <c r="B8" t="s">
        <v>10</v>
      </c>
      <c r="C8" s="2">
        <v>151502.64</v>
      </c>
      <c r="D8" s="5">
        <v>0</v>
      </c>
      <c r="E8" s="2">
        <f>C8*(1+D8)</f>
        <v>0</v>
      </c>
      <c r="F8" s="2">
        <f>E8-C8</f>
        <v>0</v>
      </c>
    </row>
    <row r="9" spans="1:6">
      <c r="A9" t="s">
        <v>14</v>
      </c>
      <c r="B9" t="s">
        <v>15</v>
      </c>
      <c r="C9" s="2">
        <v>151227.77</v>
      </c>
      <c r="D9" s="5">
        <v>0</v>
      </c>
      <c r="E9" s="2">
        <f>C9*(1+D9)</f>
        <v>0</v>
      </c>
      <c r="F9" s="2">
        <f>E9-C9</f>
        <v>0</v>
      </c>
    </row>
    <row r="10" spans="1:6">
      <c r="A10" t="s">
        <v>16</v>
      </c>
      <c r="B10" t="s">
        <v>17</v>
      </c>
      <c r="C10" s="2">
        <v>147960.6</v>
      </c>
      <c r="D10" s="5">
        <v>0</v>
      </c>
      <c r="E10" s="2">
        <f>C10*(1+D10)</f>
        <v>0</v>
      </c>
      <c r="F10" s="2">
        <f>E10-C10</f>
        <v>0</v>
      </c>
    </row>
    <row r="11" spans="1:6">
      <c r="A11" t="s">
        <v>18</v>
      </c>
      <c r="B11" t="s">
        <v>19</v>
      </c>
      <c r="C11" s="2">
        <v>147607.72</v>
      </c>
      <c r="D11" s="5">
        <v>0</v>
      </c>
      <c r="E11" s="2">
        <f>C11*(1+D11)</f>
        <v>0</v>
      </c>
      <c r="F11" s="2">
        <f>E11-C11</f>
        <v>0</v>
      </c>
    </row>
    <row r="12" spans="1:6">
      <c r="A12" t="s">
        <v>20</v>
      </c>
      <c r="B12" t="s">
        <v>17</v>
      </c>
      <c r="C12" s="2">
        <v>127195.38</v>
      </c>
      <c r="D12" s="5">
        <v>0</v>
      </c>
      <c r="E12" s="2">
        <f>C12*(1+D12)</f>
        <v>0</v>
      </c>
      <c r="F12" s="2">
        <f>E12-C12</f>
        <v>0</v>
      </c>
    </row>
    <row r="13" spans="1:6">
      <c r="A13" t="s">
        <v>21</v>
      </c>
      <c r="B13" t="s">
        <v>15</v>
      </c>
      <c r="C13" s="2">
        <v>123397.18</v>
      </c>
      <c r="D13" s="5">
        <v>0</v>
      </c>
      <c r="E13" s="2">
        <f>C13*(1+D13)</f>
        <v>0</v>
      </c>
      <c r="F13" s="2">
        <f>E13-C13</f>
        <v>0</v>
      </c>
    </row>
    <row r="14" spans="1:6">
      <c r="A14" t="s">
        <v>22</v>
      </c>
      <c r="B14" t="s">
        <v>12</v>
      </c>
      <c r="C14" s="2">
        <v>102473.83</v>
      </c>
      <c r="D14" s="5">
        <v>0</v>
      </c>
      <c r="E14" s="2">
        <f>C14*(1+D14)</f>
        <v>0</v>
      </c>
      <c r="F14" s="2">
        <f>E14-C14</f>
        <v>0</v>
      </c>
    </row>
    <row r="15" spans="1:6">
      <c r="A15" t="s">
        <v>23</v>
      </c>
      <c r="B15" t="s">
        <v>24</v>
      </c>
      <c r="C15" s="2">
        <v>80361.85000000001</v>
      </c>
      <c r="D15" s="5">
        <v>0</v>
      </c>
      <c r="E15" s="2">
        <f>C15*(1+D15)</f>
        <v>0</v>
      </c>
      <c r="F15" s="2">
        <f>E15-C15</f>
        <v>0</v>
      </c>
    </row>
    <row r="16" spans="1:6">
      <c r="A16" t="s">
        <v>25</v>
      </c>
      <c r="B16" t="s">
        <v>10</v>
      </c>
      <c r="C16" s="2">
        <v>61103.6</v>
      </c>
      <c r="D16" s="5">
        <v>0</v>
      </c>
      <c r="E16" s="2">
        <f>C16*(1+D16)</f>
        <v>0</v>
      </c>
      <c r="F16" s="2">
        <f>E16-C16</f>
        <v>0</v>
      </c>
    </row>
    <row r="17" spans="1:6">
      <c r="A17" t="s">
        <v>26</v>
      </c>
      <c r="B17" t="s">
        <v>12</v>
      </c>
      <c r="C17" s="2">
        <v>59412.24</v>
      </c>
      <c r="D17" s="5">
        <v>0</v>
      </c>
      <c r="E17" s="2">
        <f>C17*(1+D17)</f>
        <v>0</v>
      </c>
      <c r="F17" s="2">
        <f>E17-C17</f>
        <v>0</v>
      </c>
    </row>
    <row r="18" spans="1:6">
      <c r="A18" t="s">
        <v>27</v>
      </c>
      <c r="B18" t="s">
        <v>12</v>
      </c>
      <c r="C18" s="2">
        <v>59035.22</v>
      </c>
      <c r="D18" s="5">
        <v>0</v>
      </c>
      <c r="E18" s="2">
        <f>C18*(1+D18)</f>
        <v>0</v>
      </c>
      <c r="F18" s="2">
        <f>E18-C18</f>
        <v>0</v>
      </c>
    </row>
    <row r="19" spans="1:6">
      <c r="A19" t="s">
        <v>28</v>
      </c>
      <c r="B19" t="s">
        <v>24</v>
      </c>
      <c r="C19" s="2">
        <v>34754.99</v>
      </c>
      <c r="D19" s="5">
        <v>0</v>
      </c>
      <c r="E19" s="2">
        <f>C19*(1+D19)</f>
        <v>0</v>
      </c>
      <c r="F19" s="2">
        <f>E19-C19</f>
        <v>0</v>
      </c>
    </row>
    <row r="20" spans="1:6">
      <c r="A20" t="s">
        <v>29</v>
      </c>
      <c r="B20" t="s">
        <v>24</v>
      </c>
      <c r="C20" s="2">
        <v>29555.37</v>
      </c>
      <c r="D20" s="5">
        <v>0</v>
      </c>
      <c r="E20" s="2">
        <f>C20*(1+D20)</f>
        <v>0</v>
      </c>
      <c r="F20" s="2">
        <f>E20-C20</f>
        <v>0</v>
      </c>
    </row>
    <row r="21" spans="1:6">
      <c r="A21" t="s">
        <v>30</v>
      </c>
      <c r="B21" t="s">
        <v>12</v>
      </c>
      <c r="C21" s="2">
        <v>27783.39</v>
      </c>
      <c r="D21" s="5">
        <v>0</v>
      </c>
      <c r="E21" s="2">
        <f>C21*(1+D21)</f>
        <v>0</v>
      </c>
      <c r="F21" s="2">
        <f>E21-C21</f>
        <v>0</v>
      </c>
    </row>
    <row r="22" spans="1:6">
      <c r="A22" t="s">
        <v>31</v>
      </c>
      <c r="B22" t="s">
        <v>24</v>
      </c>
      <c r="C22" s="2">
        <v>21850.11</v>
      </c>
      <c r="D22" s="5">
        <v>0</v>
      </c>
      <c r="E22" s="2">
        <f>C22*(1+D22)</f>
        <v>0</v>
      </c>
      <c r="F22" s="2">
        <f>E22-C22</f>
        <v>0</v>
      </c>
    </row>
    <row r="23" spans="1:6">
      <c r="A23" t="s">
        <v>32</v>
      </c>
      <c r="B23" t="s">
        <v>10</v>
      </c>
      <c r="C23" s="2">
        <v>17731.25</v>
      </c>
      <c r="D23" s="5">
        <v>0</v>
      </c>
      <c r="E23" s="2">
        <f>C23*(1+D23)</f>
        <v>0</v>
      </c>
      <c r="F23" s="2">
        <f>E23-C23</f>
        <v>0</v>
      </c>
    </row>
    <row r="25" spans="1:6">
      <c r="B25" s="1" t="s">
        <v>39</v>
      </c>
      <c r="C25" s="2">
        <f>SUM(C6:C23)</f>
        <v>0</v>
      </c>
      <c r="E25" s="2">
        <f>SUM(E6:E23)</f>
        <v>0</v>
      </c>
      <c r="F25" s="2">
        <f>SUM(F6:F23)</f>
        <v>0</v>
      </c>
    </row>
    <row r="27" spans="1:6">
      <c r="B27" s="1" t="s">
        <v>40</v>
      </c>
      <c r="C27" s="3">
        <f>F25/C25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 Portafoglio</vt:lpstr>
      <vt:lpstr>Simulatore What-If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2026-07-05T15:40:20Z</dcterms:created>
  <dcterms:modified xsi:type="dcterms:W3CDTF">2026-07-05T15:40:20Z</dcterms:modified>
</cp:coreProperties>
</file>